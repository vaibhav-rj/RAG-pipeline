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" yWindow="516" windowWidth="22716" windowHeight="894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F79" i="1"/>
  <c r="F78"/>
  <c r="F77"/>
</calcChain>
</file>

<file path=xl/sharedStrings.xml><?xml version="1.0" encoding="utf-8"?>
<sst xmlns="http://schemas.openxmlformats.org/spreadsheetml/2006/main" count="106" uniqueCount="46">
  <si>
    <t>metric</t>
  </si>
  <si>
    <t>dimensions</t>
  </si>
  <si>
    <t>diff</t>
  </si>
  <si>
    <t>%change</t>
  </si>
  <si>
    <t>accuracy@1</t>
  </si>
  <si>
    <t>accuracy@10</t>
  </si>
  <si>
    <t>accuracy@3</t>
  </si>
  <si>
    <t>accuracy@5</t>
  </si>
  <si>
    <t>map@100</t>
  </si>
  <si>
    <t>mrr@10</t>
  </si>
  <si>
    <t>ndcg@10</t>
  </si>
  <si>
    <t>precision@1</t>
  </si>
  <si>
    <t>precision@10</t>
  </si>
  <si>
    <t>precision@3</t>
  </si>
  <si>
    <t>precision@5</t>
  </si>
  <si>
    <t>recall@1</t>
  </si>
  <si>
    <t>recall@10</t>
  </si>
  <si>
    <t>recall@3</t>
  </si>
  <si>
    <t>recall@5</t>
  </si>
  <si>
    <t>AVERAGE</t>
  </si>
  <si>
    <t>VARIANCE</t>
  </si>
  <si>
    <t>ST-DEV</t>
  </si>
  <si>
    <t>base_model_value</t>
  </si>
  <si>
    <t>FT_model_value</t>
  </si>
  <si>
    <t>Metric</t>
  </si>
  <si>
    <t>cosine_accuracy@1</t>
  </si>
  <si>
    <t>cosine_accuracy@3</t>
  </si>
  <si>
    <t>cosine_accuracy@5</t>
  </si>
  <si>
    <t>cosine_accuracy@10</t>
  </si>
  <si>
    <t>cosine_precision@1</t>
  </si>
  <si>
    <t>cosine_precision@3</t>
  </si>
  <si>
    <t>cosine_precision@5</t>
  </si>
  <si>
    <t>cosine_precision@10</t>
  </si>
  <si>
    <t>cosine_recall@1</t>
  </si>
  <si>
    <t>cosine_recall@3</t>
  </si>
  <si>
    <t>cosine_recall@5</t>
  </si>
  <si>
    <t>cosine_recall@10</t>
  </si>
  <si>
    <t>cosine_ndcg@10</t>
  </si>
  <si>
    <t>cosine_mrr@10</t>
  </si>
  <si>
    <t>cosine_map@100</t>
  </si>
  <si>
    <t>dim 756</t>
  </si>
  <si>
    <t>dim 512</t>
  </si>
  <si>
    <t>dim 256</t>
  </si>
  <si>
    <t>dim 128</t>
  </si>
  <si>
    <t>dim 64</t>
  </si>
  <si>
    <t>Inference on fine tuned model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</si>
</sst>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4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9"/>
  <sheetViews>
    <sheetView tabSelected="1" workbookViewId="0">
      <selection activeCell="H7" sqref="H7"/>
    </sheetView>
  </sheetViews>
  <sheetFormatPr defaultRowHeight="14.4"/>
  <cols>
    <col min="1" max="1" width="18.44140625" style="7" customWidth="1"/>
    <col min="2" max="2" width="15.77734375" style="7" customWidth="1"/>
    <col min="3" max="3" width="19.6640625" style="7" customWidth="1"/>
    <col min="4" max="4" width="22.44140625" style="7" customWidth="1"/>
    <col min="5" max="5" width="21.44140625" style="7" customWidth="1"/>
    <col min="6" max="6" width="23.6640625" style="7" customWidth="1"/>
    <col min="7" max="7" width="17.21875" customWidth="1"/>
  </cols>
  <sheetData>
    <row r="1" spans="1:13">
      <c r="A1" s="1" t="s">
        <v>0</v>
      </c>
      <c r="B1" s="1" t="s">
        <v>1</v>
      </c>
      <c r="C1" s="1" t="s">
        <v>22</v>
      </c>
      <c r="D1" s="1" t="s">
        <v>23</v>
      </c>
      <c r="E1" s="1" t="s">
        <v>2</v>
      </c>
      <c r="F1" s="1" t="s">
        <v>3</v>
      </c>
    </row>
    <row r="2" spans="1:13">
      <c r="A2" s="7" t="s">
        <v>4</v>
      </c>
      <c r="B2" s="7">
        <v>768</v>
      </c>
      <c r="C2" s="7">
        <v>0.315</v>
      </c>
      <c r="D2" s="7">
        <v>0.41375000000000001</v>
      </c>
      <c r="E2" s="7">
        <v>9.8750000000000004E-2</v>
      </c>
      <c r="F2" s="7">
        <v>31.349206349206352</v>
      </c>
    </row>
    <row r="3" spans="1:13">
      <c r="A3" s="7" t="s">
        <v>4</v>
      </c>
      <c r="B3" s="7">
        <v>512</v>
      </c>
      <c r="C3" s="7">
        <v>0.30125000000000002</v>
      </c>
      <c r="D3" s="7">
        <v>0.41499999999999998</v>
      </c>
      <c r="E3" s="7">
        <v>0.11375</v>
      </c>
      <c r="F3" s="7">
        <v>37.759336099585049</v>
      </c>
    </row>
    <row r="4" spans="1:13">
      <c r="A4" s="7" t="s">
        <v>4</v>
      </c>
      <c r="B4" s="7">
        <v>256</v>
      </c>
      <c r="C4" s="7">
        <v>0.28625</v>
      </c>
      <c r="D4" s="7">
        <v>0.39250000000000002</v>
      </c>
      <c r="E4" s="7">
        <v>0.10625</v>
      </c>
      <c r="F4" s="7">
        <v>37.117903930131007</v>
      </c>
    </row>
    <row r="5" spans="1:13">
      <c r="A5" s="7" t="s">
        <v>4</v>
      </c>
      <c r="B5" s="7">
        <v>128</v>
      </c>
      <c r="C5" s="7">
        <v>0.26124999999999998</v>
      </c>
      <c r="D5" s="7">
        <v>0.35875000000000001</v>
      </c>
      <c r="E5" s="7">
        <v>9.7500000000000031E-2</v>
      </c>
      <c r="F5" s="7">
        <v>37.320574162679442</v>
      </c>
    </row>
    <row r="6" spans="1:13">
      <c r="A6" s="7" t="s">
        <v>4</v>
      </c>
      <c r="B6" s="7">
        <v>64</v>
      </c>
      <c r="C6" s="7">
        <v>0.21124999999999999</v>
      </c>
      <c r="D6" s="7">
        <v>0.30249999999999999</v>
      </c>
      <c r="E6" s="7">
        <v>9.1249999999999998E-2</v>
      </c>
      <c r="F6" s="7">
        <v>43.19526627218935</v>
      </c>
    </row>
    <row r="7" spans="1:13">
      <c r="A7" s="7" t="s">
        <v>5</v>
      </c>
      <c r="B7" s="7">
        <v>64</v>
      </c>
      <c r="C7" s="7">
        <v>0.39874999999999999</v>
      </c>
      <c r="D7" s="7">
        <v>0.51124999999999998</v>
      </c>
      <c r="E7" s="7">
        <v>0.1125</v>
      </c>
      <c r="F7" s="7">
        <v>28.213166144200621</v>
      </c>
      <c r="H7" s="2" t="s">
        <v>45</v>
      </c>
    </row>
    <row r="8" spans="1:13">
      <c r="A8" s="7" t="s">
        <v>5</v>
      </c>
      <c r="B8" s="7">
        <v>256</v>
      </c>
      <c r="C8" s="7">
        <v>0.46875</v>
      </c>
      <c r="D8" s="7">
        <v>0.58625000000000005</v>
      </c>
      <c r="E8" s="7">
        <v>0.11749999999999999</v>
      </c>
      <c r="F8" s="7">
        <v>25.066666666666681</v>
      </c>
    </row>
    <row r="9" spans="1:13">
      <c r="A9" s="7" t="s">
        <v>5</v>
      </c>
      <c r="B9" s="7">
        <v>128</v>
      </c>
      <c r="C9" s="7">
        <v>0.4375</v>
      </c>
      <c r="D9" s="7">
        <v>0.57374999999999998</v>
      </c>
      <c r="E9" s="7">
        <v>0.13625000000000001</v>
      </c>
      <c r="F9" s="7">
        <v>31.142857142857139</v>
      </c>
      <c r="H9" s="3" t="s">
        <v>24</v>
      </c>
      <c r="I9" s="3" t="s">
        <v>40</v>
      </c>
      <c r="J9" s="3" t="s">
        <v>41</v>
      </c>
      <c r="K9" s="3" t="s">
        <v>42</v>
      </c>
      <c r="L9" s="3" t="s">
        <v>43</v>
      </c>
      <c r="M9" s="3" t="s">
        <v>44</v>
      </c>
    </row>
    <row r="10" spans="1:13" ht="27.6">
      <c r="A10" s="7" t="s">
        <v>5</v>
      </c>
      <c r="B10" s="7">
        <v>768</v>
      </c>
      <c r="C10" s="7">
        <v>0.50375000000000003</v>
      </c>
      <c r="D10" s="7">
        <v>0.59875</v>
      </c>
      <c r="E10" s="7">
        <v>9.4999999999999973E-2</v>
      </c>
      <c r="F10" s="7">
        <v>18.85856079404466</v>
      </c>
      <c r="H10" s="5" t="s">
        <v>25</v>
      </c>
      <c r="I10" s="5">
        <v>0.38869999999999999</v>
      </c>
      <c r="J10" s="5">
        <v>0.37869999999999998</v>
      </c>
      <c r="K10" s="5">
        <v>0.3725</v>
      </c>
      <c r="L10" s="5">
        <v>0.34499999999999997</v>
      </c>
      <c r="M10" s="5">
        <v>0.29630000000000001</v>
      </c>
    </row>
    <row r="11" spans="1:13" ht="27.6">
      <c r="A11" s="7" t="s">
        <v>5</v>
      </c>
      <c r="B11" s="7">
        <v>512</v>
      </c>
      <c r="C11" s="7">
        <v>0.5</v>
      </c>
      <c r="D11" s="7">
        <v>0.59624999999999995</v>
      </c>
      <c r="E11" s="7">
        <v>9.6249999999999947E-2</v>
      </c>
      <c r="F11" s="7">
        <v>19.249999999999989</v>
      </c>
      <c r="H11" s="5" t="s">
        <v>26</v>
      </c>
      <c r="I11" s="5">
        <v>0.51380000000000003</v>
      </c>
      <c r="J11" s="5">
        <v>0.51380000000000003</v>
      </c>
      <c r="K11" s="5">
        <v>0.49880000000000002</v>
      </c>
      <c r="L11" s="5">
        <v>0.47</v>
      </c>
      <c r="M11" s="5">
        <v>0.43</v>
      </c>
    </row>
    <row r="12" spans="1:13" ht="27.6">
      <c r="A12" s="7" t="s">
        <v>6</v>
      </c>
      <c r="B12" s="7">
        <v>768</v>
      </c>
      <c r="C12" s="7">
        <v>0.42</v>
      </c>
      <c r="D12" s="7">
        <v>0.52625</v>
      </c>
      <c r="E12" s="7">
        <v>0.10625</v>
      </c>
      <c r="F12" s="7">
        <v>25.297619047619051</v>
      </c>
      <c r="H12" s="5" t="s">
        <v>27</v>
      </c>
      <c r="I12" s="5">
        <v>0.5625</v>
      </c>
      <c r="J12" s="5">
        <v>0.5575</v>
      </c>
      <c r="K12" s="5">
        <v>0.53749999999999998</v>
      </c>
      <c r="L12" s="5">
        <v>0.52500000000000002</v>
      </c>
      <c r="M12" s="5">
        <v>0.48130000000000001</v>
      </c>
    </row>
    <row r="13" spans="1:13" ht="41.4">
      <c r="A13" s="7" t="s">
        <v>6</v>
      </c>
      <c r="B13" s="7">
        <v>512</v>
      </c>
      <c r="C13" s="7">
        <v>0.40375</v>
      </c>
      <c r="D13" s="7">
        <v>0.52</v>
      </c>
      <c r="E13" s="7">
        <v>0.11625000000000001</v>
      </c>
      <c r="F13" s="7">
        <v>28.79256965944273</v>
      </c>
      <c r="H13" s="5" t="s">
        <v>28</v>
      </c>
      <c r="I13" s="5">
        <v>0.60619999999999996</v>
      </c>
      <c r="J13" s="5">
        <v>0.5988</v>
      </c>
      <c r="K13" s="5">
        <v>0.58499999999999996</v>
      </c>
      <c r="L13" s="5">
        <v>0.5675</v>
      </c>
      <c r="M13" s="5">
        <v>0.52880000000000005</v>
      </c>
    </row>
    <row r="14" spans="1:13" ht="41.4">
      <c r="A14" s="7" t="s">
        <v>6</v>
      </c>
      <c r="B14" s="7">
        <v>256</v>
      </c>
      <c r="C14" s="7">
        <v>0.38874999999999998</v>
      </c>
      <c r="D14" s="7">
        <v>0.50375000000000003</v>
      </c>
      <c r="E14" s="7">
        <v>0.115</v>
      </c>
      <c r="F14" s="7">
        <v>29.58199356913185</v>
      </c>
      <c r="H14" s="5" t="s">
        <v>29</v>
      </c>
      <c r="I14" s="5">
        <v>0.38869999999999999</v>
      </c>
      <c r="J14" s="5">
        <v>0.37869999999999998</v>
      </c>
      <c r="K14" s="5">
        <v>0.3725</v>
      </c>
      <c r="L14" s="5">
        <v>0.34499999999999997</v>
      </c>
      <c r="M14" s="5">
        <v>0.29630000000000001</v>
      </c>
    </row>
    <row r="15" spans="1:13" ht="41.4">
      <c r="A15" s="7" t="s">
        <v>6</v>
      </c>
      <c r="B15" s="7">
        <v>128</v>
      </c>
      <c r="C15" s="7">
        <v>0.36499999999999999</v>
      </c>
      <c r="D15" s="7">
        <v>0.47499999999999998</v>
      </c>
      <c r="E15" s="7">
        <v>0.11</v>
      </c>
      <c r="F15" s="7">
        <v>30.136986301369859</v>
      </c>
      <c r="H15" s="5" t="s">
        <v>30</v>
      </c>
      <c r="I15" s="5">
        <v>0.17130000000000001</v>
      </c>
      <c r="J15" s="5">
        <v>0.17130000000000001</v>
      </c>
      <c r="K15" s="5">
        <v>0.1663</v>
      </c>
      <c r="L15" s="5">
        <v>0.15670000000000001</v>
      </c>
      <c r="M15" s="5">
        <v>0.14330000000000001</v>
      </c>
    </row>
    <row r="16" spans="1:13" ht="41.4">
      <c r="A16" s="7" t="s">
        <v>6</v>
      </c>
      <c r="B16" s="7">
        <v>64</v>
      </c>
      <c r="C16" s="7">
        <v>0.29749999999999999</v>
      </c>
      <c r="D16" s="7">
        <v>0.42375000000000002</v>
      </c>
      <c r="E16" s="7">
        <v>0.12625</v>
      </c>
      <c r="F16" s="7">
        <v>42.436974789915979</v>
      </c>
      <c r="H16" s="5" t="s">
        <v>31</v>
      </c>
      <c r="I16" s="5">
        <v>0.1125</v>
      </c>
      <c r="J16" s="5">
        <v>0.1115</v>
      </c>
      <c r="K16" s="5">
        <v>0.1075</v>
      </c>
      <c r="L16" s="5">
        <v>0.105</v>
      </c>
      <c r="M16" s="5">
        <v>9.6299999999999997E-2</v>
      </c>
    </row>
    <row r="17" spans="1:13" ht="41.4">
      <c r="A17" s="7" t="s">
        <v>7</v>
      </c>
      <c r="B17" s="7">
        <v>64</v>
      </c>
      <c r="C17" s="7">
        <v>0.34499999999999997</v>
      </c>
      <c r="D17" s="7">
        <v>0.46625</v>
      </c>
      <c r="E17" s="7">
        <v>0.12125</v>
      </c>
      <c r="F17" s="7">
        <v>35.144927536231897</v>
      </c>
      <c r="H17" s="5" t="s">
        <v>32</v>
      </c>
      <c r="I17" s="5">
        <v>6.0600000000000001E-2</v>
      </c>
      <c r="J17" s="5">
        <v>5.9900000000000002E-2</v>
      </c>
      <c r="K17" s="5">
        <v>5.8500000000000003E-2</v>
      </c>
      <c r="L17" s="5">
        <v>5.67E-2</v>
      </c>
      <c r="M17" s="5">
        <v>5.2900000000000003E-2</v>
      </c>
    </row>
    <row r="18" spans="1:13" ht="27.6">
      <c r="A18" s="7" t="s">
        <v>7</v>
      </c>
      <c r="B18" s="7">
        <v>256</v>
      </c>
      <c r="C18" s="7">
        <v>0.43</v>
      </c>
      <c r="D18" s="7">
        <v>0.54</v>
      </c>
      <c r="E18" s="7">
        <v>0.11</v>
      </c>
      <c r="F18" s="7">
        <v>25.581395348837219</v>
      </c>
      <c r="H18" s="5" t="s">
        <v>33</v>
      </c>
      <c r="I18" s="5">
        <v>0.38869999999999999</v>
      </c>
      <c r="J18" s="5">
        <v>0.37869999999999998</v>
      </c>
      <c r="K18" s="5">
        <v>0.3725</v>
      </c>
      <c r="L18" s="5">
        <v>0.34499999999999997</v>
      </c>
      <c r="M18" s="5">
        <v>0.29630000000000001</v>
      </c>
    </row>
    <row r="19" spans="1:13" ht="27.6">
      <c r="A19" s="7" t="s">
        <v>7</v>
      </c>
      <c r="B19" s="7">
        <v>128</v>
      </c>
      <c r="C19" s="7">
        <v>0.39374999999999999</v>
      </c>
      <c r="D19" s="7">
        <v>0.51500000000000001</v>
      </c>
      <c r="E19" s="7">
        <v>0.12125</v>
      </c>
      <c r="F19" s="7">
        <v>30.793650793650801</v>
      </c>
      <c r="H19" s="5" t="s">
        <v>34</v>
      </c>
      <c r="I19" s="5">
        <v>0.51380000000000003</v>
      </c>
      <c r="J19" s="5">
        <v>0.51380000000000003</v>
      </c>
      <c r="K19" s="5">
        <v>0.49880000000000002</v>
      </c>
      <c r="L19" s="5">
        <v>0.47</v>
      </c>
      <c r="M19" s="5">
        <v>0.43</v>
      </c>
    </row>
    <row r="20" spans="1:13" ht="27.6">
      <c r="A20" s="7" t="s">
        <v>7</v>
      </c>
      <c r="B20" s="7">
        <v>768</v>
      </c>
      <c r="C20" s="7">
        <v>0.45750000000000002</v>
      </c>
      <c r="D20" s="7">
        <v>0.55000000000000004</v>
      </c>
      <c r="E20" s="7">
        <v>9.2500000000000027E-2</v>
      </c>
      <c r="F20" s="7">
        <v>20.21857923497268</v>
      </c>
      <c r="H20" s="5" t="s">
        <v>35</v>
      </c>
      <c r="I20" s="5">
        <v>0.5625</v>
      </c>
      <c r="J20" s="5">
        <v>0.5575</v>
      </c>
      <c r="K20" s="5">
        <v>0.53749999999999998</v>
      </c>
      <c r="L20" s="5">
        <v>0.52500000000000002</v>
      </c>
      <c r="M20" s="5">
        <v>0.48130000000000001</v>
      </c>
    </row>
    <row r="21" spans="1:13" ht="27.6">
      <c r="A21" s="7" t="s">
        <v>7</v>
      </c>
      <c r="B21" s="7">
        <v>512</v>
      </c>
      <c r="C21" s="7">
        <v>0.44874999999999998</v>
      </c>
      <c r="D21" s="7">
        <v>0.55374999999999996</v>
      </c>
      <c r="E21" s="7">
        <v>0.105</v>
      </c>
      <c r="F21" s="7">
        <v>23.398328690807791</v>
      </c>
      <c r="H21" s="5" t="s">
        <v>36</v>
      </c>
      <c r="I21" s="5">
        <v>0.60619999999999996</v>
      </c>
      <c r="J21" s="5">
        <v>0.5988</v>
      </c>
      <c r="K21" s="5">
        <v>0.58499999999999996</v>
      </c>
      <c r="L21" s="5">
        <v>0.5675</v>
      </c>
      <c r="M21" s="5">
        <v>0.52880000000000005</v>
      </c>
    </row>
    <row r="22" spans="1:13" ht="27.6">
      <c r="A22" s="7" t="s">
        <v>8</v>
      </c>
      <c r="B22" s="7">
        <v>768</v>
      </c>
      <c r="C22" s="7">
        <v>0.38202646463665219</v>
      </c>
      <c r="D22" s="7">
        <v>0.48036608008494669</v>
      </c>
      <c r="E22" s="7">
        <v>9.8339615448294504E-2</v>
      </c>
      <c r="F22" s="7">
        <v>25.741571475113879</v>
      </c>
      <c r="H22" s="6" t="s">
        <v>37</v>
      </c>
      <c r="I22" s="6">
        <v>0.49719999999999998</v>
      </c>
      <c r="J22" s="6">
        <v>0.48909999999999998</v>
      </c>
      <c r="K22" s="6">
        <v>0.47770000000000001</v>
      </c>
      <c r="L22" s="6">
        <v>0.45500000000000002</v>
      </c>
      <c r="M22" s="6">
        <v>0.41</v>
      </c>
    </row>
    <row r="23" spans="1:13" ht="27.6">
      <c r="A23" s="7" t="s">
        <v>8</v>
      </c>
      <c r="B23" s="7">
        <v>512</v>
      </c>
      <c r="C23" s="7">
        <v>0.3706309165301272</v>
      </c>
      <c r="D23" s="7">
        <v>0.4784537734585223</v>
      </c>
      <c r="E23" s="7">
        <v>0.10782285692839511</v>
      </c>
      <c r="F23" s="7">
        <v>29.091706093447439</v>
      </c>
      <c r="H23" s="5" t="s">
        <v>38</v>
      </c>
      <c r="I23" s="5">
        <v>0.46229999999999999</v>
      </c>
      <c r="J23" s="5">
        <v>0.45379999999999998</v>
      </c>
      <c r="K23" s="5">
        <v>0.44340000000000002</v>
      </c>
      <c r="L23" s="5">
        <v>0.41899999999999998</v>
      </c>
      <c r="M23" s="5">
        <v>0.37219999999999998</v>
      </c>
    </row>
    <row r="24" spans="1:13" ht="27.6">
      <c r="A24" s="7" t="s">
        <v>8</v>
      </c>
      <c r="B24" s="7">
        <v>256</v>
      </c>
      <c r="C24" s="7">
        <v>0.35190493448188781</v>
      </c>
      <c r="D24" s="7">
        <v>0.4595284981545561</v>
      </c>
      <c r="E24" s="7">
        <v>0.1076235636726683</v>
      </c>
      <c r="F24" s="7">
        <v>30.58313570712594</v>
      </c>
      <c r="H24" s="5" t="s">
        <v>39</v>
      </c>
      <c r="I24" s="5">
        <v>0.46700000000000003</v>
      </c>
      <c r="J24" s="5">
        <v>0.45889999999999997</v>
      </c>
      <c r="K24" s="5">
        <v>0.44900000000000001</v>
      </c>
      <c r="L24" s="5">
        <v>0.42499999999999999</v>
      </c>
      <c r="M24" s="5">
        <v>0.37880000000000003</v>
      </c>
    </row>
    <row r="25" spans="1:13">
      <c r="A25" s="7" t="s">
        <v>8</v>
      </c>
      <c r="B25" s="7">
        <v>128</v>
      </c>
      <c r="C25" s="7">
        <v>0.32439583085086943</v>
      </c>
      <c r="D25" s="7">
        <v>0.43132143642343612</v>
      </c>
      <c r="E25" s="7">
        <v>0.10692560557256681</v>
      </c>
      <c r="F25" s="7">
        <v>32.961461092797578</v>
      </c>
      <c r="H25" s="4"/>
      <c r="I25" s="4"/>
      <c r="J25" s="4"/>
      <c r="K25" s="4"/>
      <c r="L25" s="4"/>
      <c r="M25" s="4"/>
    </row>
    <row r="26" spans="1:13">
      <c r="A26" s="7" t="s">
        <v>8</v>
      </c>
      <c r="B26" s="7">
        <v>64</v>
      </c>
      <c r="C26" s="7">
        <v>0.27295321739603923</v>
      </c>
      <c r="D26" s="7">
        <v>0.37639228663435892</v>
      </c>
      <c r="E26" s="7">
        <v>0.10343906923831959</v>
      </c>
      <c r="F26" s="7">
        <v>37.896263039184319</v>
      </c>
    </row>
    <row r="27" spans="1:13">
      <c r="A27" s="7" t="s">
        <v>9</v>
      </c>
      <c r="B27" s="7">
        <v>256</v>
      </c>
      <c r="C27" s="7">
        <v>0.34623611111111091</v>
      </c>
      <c r="D27" s="7">
        <v>0.45463789682539668</v>
      </c>
      <c r="E27" s="7">
        <v>0.1084017857142858</v>
      </c>
      <c r="F27" s="7">
        <v>31.30863079717831</v>
      </c>
    </row>
    <row r="28" spans="1:13">
      <c r="A28" s="7" t="s">
        <v>9</v>
      </c>
      <c r="B28" s="7">
        <v>64</v>
      </c>
      <c r="C28" s="7">
        <v>0.26697668650793649</v>
      </c>
      <c r="D28" s="7">
        <v>0.36997073412698411</v>
      </c>
      <c r="E28" s="7">
        <v>0.1029940476190476</v>
      </c>
      <c r="F28" s="7">
        <v>38.577918156904623</v>
      </c>
    </row>
    <row r="29" spans="1:13">
      <c r="A29" s="7" t="s">
        <v>9</v>
      </c>
      <c r="B29" s="7">
        <v>128</v>
      </c>
      <c r="C29" s="7">
        <v>0.31850843253968247</v>
      </c>
      <c r="D29" s="7">
        <v>0.42685565476190462</v>
      </c>
      <c r="E29" s="7">
        <v>0.10834722222222209</v>
      </c>
      <c r="F29" s="7">
        <v>34.017065532079208</v>
      </c>
    </row>
    <row r="30" spans="1:13">
      <c r="A30" s="7" t="s">
        <v>9</v>
      </c>
      <c r="B30" s="7">
        <v>512</v>
      </c>
      <c r="C30" s="7">
        <v>0.36489285714285691</v>
      </c>
      <c r="D30" s="7">
        <v>0.47386210317460298</v>
      </c>
      <c r="E30" s="7">
        <v>0.1089692460317461</v>
      </c>
      <c r="F30" s="7">
        <v>29.863354104814459</v>
      </c>
    </row>
    <row r="31" spans="1:13">
      <c r="A31" s="7" t="s">
        <v>9</v>
      </c>
      <c r="B31" s="7">
        <v>768</v>
      </c>
      <c r="C31" s="7">
        <v>0.3764464285714284</v>
      </c>
      <c r="D31" s="7">
        <v>0.47585267857142838</v>
      </c>
      <c r="E31" s="7">
        <v>9.9406249999999974E-2</v>
      </c>
      <c r="F31" s="7">
        <v>26.406479768511939</v>
      </c>
    </row>
    <row r="32" spans="1:13">
      <c r="A32" s="7" t="s">
        <v>10</v>
      </c>
      <c r="B32" s="7">
        <v>768</v>
      </c>
      <c r="C32" s="7">
        <v>0.40715910457913862</v>
      </c>
      <c r="D32" s="7">
        <v>0.50545663946277219</v>
      </c>
      <c r="E32" s="7">
        <v>9.829753488363363E-2</v>
      </c>
      <c r="F32" s="7">
        <v>24.142290760079948</v>
      </c>
    </row>
    <row r="33" spans="1:6">
      <c r="A33" s="7" t="s">
        <v>10</v>
      </c>
      <c r="B33" s="7">
        <v>512</v>
      </c>
      <c r="C33" s="7">
        <v>0.39731366947608721</v>
      </c>
      <c r="D33" s="7">
        <v>0.50331510292666592</v>
      </c>
      <c r="E33" s="7">
        <v>0.10600143345057871</v>
      </c>
      <c r="F33" s="7">
        <v>26.6795334754921</v>
      </c>
    </row>
    <row r="34" spans="1:6">
      <c r="A34" s="7" t="s">
        <v>10</v>
      </c>
      <c r="B34" s="7">
        <v>256</v>
      </c>
      <c r="C34" s="7">
        <v>0.37577035965976679</v>
      </c>
      <c r="D34" s="7">
        <v>0.48623639040304539</v>
      </c>
      <c r="E34" s="7">
        <v>0.1104660307432786</v>
      </c>
      <c r="F34" s="7">
        <v>29.397217716505821</v>
      </c>
    </row>
    <row r="35" spans="1:6">
      <c r="A35" s="7" t="s">
        <v>10</v>
      </c>
      <c r="B35" s="7">
        <v>128</v>
      </c>
      <c r="C35" s="7">
        <v>0.34722483235812412</v>
      </c>
      <c r="D35" s="7">
        <v>0.4620756326485545</v>
      </c>
      <c r="E35" s="7">
        <v>0.1148508002904304</v>
      </c>
      <c r="F35" s="7">
        <v>33.076781839144068</v>
      </c>
    </row>
    <row r="36" spans="1:6">
      <c r="A36" s="7" t="s">
        <v>10</v>
      </c>
      <c r="B36" s="7">
        <v>64</v>
      </c>
      <c r="C36" s="7">
        <v>0.2983622305452846</v>
      </c>
      <c r="D36" s="7">
        <v>0.40406639872734013</v>
      </c>
      <c r="E36" s="7">
        <v>0.1057041681820555</v>
      </c>
      <c r="F36" s="7">
        <v>35.428133108158939</v>
      </c>
    </row>
    <row r="37" spans="1:6">
      <c r="A37" s="7" t="s">
        <v>11</v>
      </c>
      <c r="B37" s="7">
        <v>64</v>
      </c>
      <c r="C37" s="7">
        <v>0.21124999999999999</v>
      </c>
      <c r="D37" s="7">
        <v>0.30249999999999999</v>
      </c>
      <c r="E37" s="7">
        <v>9.1249999999999998E-2</v>
      </c>
      <c r="F37" s="7">
        <v>43.19526627218935</v>
      </c>
    </row>
    <row r="38" spans="1:6">
      <c r="A38" s="7" t="s">
        <v>11</v>
      </c>
      <c r="B38" s="7">
        <v>128</v>
      </c>
      <c r="C38" s="7">
        <v>0.26124999999999998</v>
      </c>
      <c r="D38" s="7">
        <v>0.35875000000000001</v>
      </c>
      <c r="E38" s="7">
        <v>9.7500000000000031E-2</v>
      </c>
      <c r="F38" s="7">
        <v>37.320574162679442</v>
      </c>
    </row>
    <row r="39" spans="1:6">
      <c r="A39" s="7" t="s">
        <v>11</v>
      </c>
      <c r="B39" s="7">
        <v>256</v>
      </c>
      <c r="C39" s="7">
        <v>0.28625</v>
      </c>
      <c r="D39" s="7">
        <v>0.39250000000000002</v>
      </c>
      <c r="E39" s="7">
        <v>0.10625</v>
      </c>
      <c r="F39" s="7">
        <v>37.117903930131007</v>
      </c>
    </row>
    <row r="40" spans="1:6">
      <c r="A40" s="7" t="s">
        <v>11</v>
      </c>
      <c r="B40" s="7">
        <v>512</v>
      </c>
      <c r="C40" s="7">
        <v>0.30125000000000002</v>
      </c>
      <c r="D40" s="7">
        <v>0.41499999999999998</v>
      </c>
      <c r="E40" s="7">
        <v>0.11375</v>
      </c>
      <c r="F40" s="7">
        <v>37.759336099585049</v>
      </c>
    </row>
    <row r="41" spans="1:6">
      <c r="A41" s="7" t="s">
        <v>11</v>
      </c>
      <c r="B41" s="7">
        <v>768</v>
      </c>
      <c r="C41" s="7">
        <v>0.315</v>
      </c>
      <c r="D41" s="7">
        <v>0.41375000000000001</v>
      </c>
      <c r="E41" s="7">
        <v>9.8750000000000004E-2</v>
      </c>
      <c r="F41" s="7">
        <v>31.349206349206352</v>
      </c>
    </row>
    <row r="42" spans="1:6" s="2" customFormat="1">
      <c r="A42" s="8" t="s">
        <v>12</v>
      </c>
      <c r="B42" s="8">
        <v>768</v>
      </c>
      <c r="C42" s="8">
        <v>5.0375000000000003E-2</v>
      </c>
      <c r="D42" s="8">
        <v>5.9874999999999998E-2</v>
      </c>
      <c r="E42" s="8">
        <v>9.5000000000000015E-3</v>
      </c>
      <c r="F42" s="8">
        <v>18.858560794044671</v>
      </c>
    </row>
    <row r="43" spans="1:6" s="2" customFormat="1">
      <c r="A43" s="8" t="s">
        <v>12</v>
      </c>
      <c r="B43" s="8">
        <v>512</v>
      </c>
      <c r="C43" s="8">
        <v>0.05</v>
      </c>
      <c r="D43" s="8">
        <v>5.9624999999999997E-2</v>
      </c>
      <c r="E43" s="8">
        <v>9.6250000000000016E-3</v>
      </c>
      <c r="F43" s="8">
        <v>19.25</v>
      </c>
    </row>
    <row r="44" spans="1:6" s="2" customFormat="1">
      <c r="A44" s="8" t="s">
        <v>12</v>
      </c>
      <c r="B44" s="8">
        <v>256</v>
      </c>
      <c r="C44" s="8">
        <v>4.6875E-2</v>
      </c>
      <c r="D44" s="8">
        <v>5.8624999999999997E-2</v>
      </c>
      <c r="E44" s="8">
        <v>1.175E-2</v>
      </c>
      <c r="F44" s="8">
        <v>25.066666666666659</v>
      </c>
    </row>
    <row r="45" spans="1:6" s="2" customFormat="1">
      <c r="A45" s="8" t="s">
        <v>12</v>
      </c>
      <c r="B45" s="8">
        <v>128</v>
      </c>
      <c r="C45" s="8">
        <v>4.3749999999999997E-2</v>
      </c>
      <c r="D45" s="8">
        <v>5.7375000000000002E-2</v>
      </c>
      <c r="E45" s="8">
        <v>1.3625E-2</v>
      </c>
      <c r="F45" s="8">
        <v>31.142857142857139</v>
      </c>
    </row>
    <row r="46" spans="1:6" s="2" customFormat="1">
      <c r="A46" s="8" t="s">
        <v>12</v>
      </c>
      <c r="B46" s="8">
        <v>64</v>
      </c>
      <c r="C46" s="8">
        <v>3.9875000000000008E-2</v>
      </c>
      <c r="D46" s="8">
        <v>5.1124999999999997E-2</v>
      </c>
      <c r="E46" s="8">
        <v>1.1249999999999989E-2</v>
      </c>
      <c r="F46" s="8">
        <v>28.213166144200599</v>
      </c>
    </row>
    <row r="47" spans="1:6">
      <c r="A47" s="7" t="s">
        <v>13</v>
      </c>
      <c r="B47" s="7">
        <v>64</v>
      </c>
      <c r="C47" s="7">
        <v>9.9166666666666667E-2</v>
      </c>
      <c r="D47" s="7">
        <v>0.14124999999999999</v>
      </c>
      <c r="E47" s="7">
        <v>4.208333333333332E-2</v>
      </c>
      <c r="F47" s="7">
        <v>42.436974789915958</v>
      </c>
    </row>
    <row r="48" spans="1:6">
      <c r="A48" s="7" t="s">
        <v>13</v>
      </c>
      <c r="B48" s="7">
        <v>128</v>
      </c>
      <c r="C48" s="7">
        <v>0.1216666666666666</v>
      </c>
      <c r="D48" s="7">
        <v>0.1583333333333333</v>
      </c>
      <c r="E48" s="7">
        <v>3.6666666666666681E-2</v>
      </c>
      <c r="F48" s="7">
        <v>30.13698630136988</v>
      </c>
    </row>
    <row r="49" spans="1:6">
      <c r="A49" s="7" t="s">
        <v>13</v>
      </c>
      <c r="B49" s="7">
        <v>256</v>
      </c>
      <c r="C49" s="7">
        <v>0.1295833333333333</v>
      </c>
      <c r="D49" s="7">
        <v>0.1679166666666666</v>
      </c>
      <c r="E49" s="7">
        <v>3.8333333333333303E-2</v>
      </c>
      <c r="F49" s="7">
        <v>29.581993569131811</v>
      </c>
    </row>
    <row r="50" spans="1:6">
      <c r="A50" s="7" t="s">
        <v>13</v>
      </c>
      <c r="B50" s="7">
        <v>512</v>
      </c>
      <c r="C50" s="7">
        <v>0.1345833333333333</v>
      </c>
      <c r="D50" s="7">
        <v>0.17333333333333331</v>
      </c>
      <c r="E50" s="7">
        <v>3.8749999999999979E-2</v>
      </c>
      <c r="F50" s="7">
        <v>28.792569659442709</v>
      </c>
    </row>
    <row r="51" spans="1:6">
      <c r="A51" s="7" t="s">
        <v>13</v>
      </c>
      <c r="B51" s="7">
        <v>768</v>
      </c>
      <c r="C51" s="7">
        <v>0.14000000000000001</v>
      </c>
      <c r="D51" s="7">
        <v>0.17541666666666661</v>
      </c>
      <c r="E51" s="7">
        <v>3.5416666666666652E-2</v>
      </c>
      <c r="F51" s="7">
        <v>25.29761904761904</v>
      </c>
    </row>
    <row r="52" spans="1:6">
      <c r="A52" s="7" t="s">
        <v>14</v>
      </c>
      <c r="B52" s="7">
        <v>768</v>
      </c>
      <c r="C52" s="7">
        <v>9.1499999999999984E-2</v>
      </c>
      <c r="D52" s="7">
        <v>0.11</v>
      </c>
      <c r="E52" s="7">
        <v>1.850000000000002E-2</v>
      </c>
      <c r="F52" s="7">
        <v>20.218579234972701</v>
      </c>
    </row>
    <row r="53" spans="1:6">
      <c r="A53" s="7" t="s">
        <v>14</v>
      </c>
      <c r="B53" s="7">
        <v>512</v>
      </c>
      <c r="C53" s="7">
        <v>8.9749999999999996E-2</v>
      </c>
      <c r="D53" s="7">
        <v>0.11075</v>
      </c>
      <c r="E53" s="7">
        <v>2.0999999999999991E-2</v>
      </c>
      <c r="F53" s="7">
        <v>23.398328690807791</v>
      </c>
    </row>
    <row r="54" spans="1:6">
      <c r="A54" s="7" t="s">
        <v>14</v>
      </c>
      <c r="B54" s="7">
        <v>256</v>
      </c>
      <c r="C54" s="7">
        <v>8.5999999999999993E-2</v>
      </c>
      <c r="D54" s="7">
        <v>0.108</v>
      </c>
      <c r="E54" s="7">
        <v>2.200000000000002E-2</v>
      </c>
      <c r="F54" s="7">
        <v>25.58139534883723</v>
      </c>
    </row>
    <row r="55" spans="1:6">
      <c r="A55" s="7" t="s">
        <v>14</v>
      </c>
      <c r="B55" s="7">
        <v>128</v>
      </c>
      <c r="C55" s="7">
        <v>7.8750000000000001E-2</v>
      </c>
      <c r="D55" s="7">
        <v>0.10299999999999999</v>
      </c>
      <c r="E55" s="7">
        <v>2.4250000000000011E-2</v>
      </c>
      <c r="F55" s="7">
        <v>30.793650793650801</v>
      </c>
    </row>
    <row r="56" spans="1:6">
      <c r="A56" s="7" t="s">
        <v>14</v>
      </c>
      <c r="B56" s="7">
        <v>64</v>
      </c>
      <c r="C56" s="7">
        <v>6.9000000000000006E-2</v>
      </c>
      <c r="D56" s="7">
        <v>9.325E-2</v>
      </c>
      <c r="E56" s="7">
        <v>2.424999999999999E-2</v>
      </c>
      <c r="F56" s="7">
        <v>35.144927536231883</v>
      </c>
    </row>
    <row r="57" spans="1:6">
      <c r="A57" s="7" t="s">
        <v>15</v>
      </c>
      <c r="B57" s="7">
        <v>64</v>
      </c>
      <c r="C57" s="7">
        <v>0.21124999999999999</v>
      </c>
      <c r="D57" s="7">
        <v>0.30249999999999999</v>
      </c>
      <c r="E57" s="7">
        <v>9.1249999999999998E-2</v>
      </c>
      <c r="F57" s="7">
        <v>43.19526627218935</v>
      </c>
    </row>
    <row r="58" spans="1:6">
      <c r="A58" s="7" t="s">
        <v>15</v>
      </c>
      <c r="B58" s="7">
        <v>128</v>
      </c>
      <c r="C58" s="7">
        <v>0.26124999999999998</v>
      </c>
      <c r="D58" s="7">
        <v>0.35875000000000001</v>
      </c>
      <c r="E58" s="7">
        <v>9.7500000000000031E-2</v>
      </c>
      <c r="F58" s="7">
        <v>37.320574162679442</v>
      </c>
    </row>
    <row r="59" spans="1:6">
      <c r="A59" s="7" t="s">
        <v>15</v>
      </c>
      <c r="B59" s="7">
        <v>512</v>
      </c>
      <c r="C59" s="7">
        <v>0.30125000000000002</v>
      </c>
      <c r="D59" s="7">
        <v>0.41499999999999998</v>
      </c>
      <c r="E59" s="7">
        <v>0.11375</v>
      </c>
      <c r="F59" s="7">
        <v>37.759336099585049</v>
      </c>
    </row>
    <row r="60" spans="1:6">
      <c r="A60" s="7" t="s">
        <v>15</v>
      </c>
      <c r="B60" s="7">
        <v>768</v>
      </c>
      <c r="C60" s="7">
        <v>0.315</v>
      </c>
      <c r="D60" s="7">
        <v>0.41375000000000001</v>
      </c>
      <c r="E60" s="7">
        <v>9.8750000000000004E-2</v>
      </c>
      <c r="F60" s="7">
        <v>31.349206349206352</v>
      </c>
    </row>
    <row r="61" spans="1:6">
      <c r="A61" s="7" t="s">
        <v>15</v>
      </c>
      <c r="B61" s="7">
        <v>256</v>
      </c>
      <c r="C61" s="7">
        <v>0.28625</v>
      </c>
      <c r="D61" s="7">
        <v>0.39250000000000002</v>
      </c>
      <c r="E61" s="7">
        <v>0.10625</v>
      </c>
      <c r="F61" s="7">
        <v>37.117903930131007</v>
      </c>
    </row>
    <row r="62" spans="1:6">
      <c r="A62" s="7" t="s">
        <v>16</v>
      </c>
      <c r="B62" s="7">
        <v>768</v>
      </c>
      <c r="C62" s="7">
        <v>0.50375000000000003</v>
      </c>
      <c r="D62" s="7">
        <v>0.59875</v>
      </c>
      <c r="E62" s="7">
        <v>9.4999999999999973E-2</v>
      </c>
      <c r="F62" s="7">
        <v>18.85856079404466</v>
      </c>
    </row>
    <row r="63" spans="1:6">
      <c r="A63" s="7" t="s">
        <v>16</v>
      </c>
      <c r="B63" s="7">
        <v>512</v>
      </c>
      <c r="C63" s="7">
        <v>0.5</v>
      </c>
      <c r="D63" s="7">
        <v>0.59624999999999995</v>
      </c>
      <c r="E63" s="7">
        <v>9.6249999999999947E-2</v>
      </c>
      <c r="F63" s="7">
        <v>19.249999999999989</v>
      </c>
    </row>
    <row r="64" spans="1:6">
      <c r="A64" s="7" t="s">
        <v>16</v>
      </c>
      <c r="B64" s="7">
        <v>256</v>
      </c>
      <c r="C64" s="7">
        <v>0.46875</v>
      </c>
      <c r="D64" s="7">
        <v>0.58625000000000005</v>
      </c>
      <c r="E64" s="7">
        <v>0.11749999999999999</v>
      </c>
      <c r="F64" s="7">
        <v>25.066666666666681</v>
      </c>
    </row>
    <row r="65" spans="1:6">
      <c r="A65" s="7" t="s">
        <v>16</v>
      </c>
      <c r="B65" s="7">
        <v>128</v>
      </c>
      <c r="C65" s="7">
        <v>0.4375</v>
      </c>
      <c r="D65" s="7">
        <v>0.57374999999999998</v>
      </c>
      <c r="E65" s="7">
        <v>0.13625000000000001</v>
      </c>
      <c r="F65" s="7">
        <v>31.142857142857139</v>
      </c>
    </row>
    <row r="66" spans="1:6">
      <c r="A66" s="7" t="s">
        <v>16</v>
      </c>
      <c r="B66" s="7">
        <v>64</v>
      </c>
      <c r="C66" s="7">
        <v>0.39874999999999999</v>
      </c>
      <c r="D66" s="7">
        <v>0.51124999999999998</v>
      </c>
      <c r="E66" s="7">
        <v>0.1125</v>
      </c>
      <c r="F66" s="7">
        <v>28.213166144200621</v>
      </c>
    </row>
    <row r="67" spans="1:6">
      <c r="A67" s="7" t="s">
        <v>17</v>
      </c>
      <c r="B67" s="7">
        <v>512</v>
      </c>
      <c r="C67" s="7">
        <v>0.40375</v>
      </c>
      <c r="D67" s="7">
        <v>0.52</v>
      </c>
      <c r="E67" s="7">
        <v>0.11625000000000001</v>
      </c>
      <c r="F67" s="7">
        <v>28.79256965944273</v>
      </c>
    </row>
    <row r="68" spans="1:6">
      <c r="A68" s="7" t="s">
        <v>17</v>
      </c>
      <c r="B68" s="7">
        <v>768</v>
      </c>
      <c r="C68" s="7">
        <v>0.42</v>
      </c>
      <c r="D68" s="7">
        <v>0.52625</v>
      </c>
      <c r="E68" s="7">
        <v>0.10625</v>
      </c>
      <c r="F68" s="7">
        <v>25.297619047619051</v>
      </c>
    </row>
    <row r="69" spans="1:6">
      <c r="A69" s="7" t="s">
        <v>17</v>
      </c>
      <c r="B69" s="7">
        <v>256</v>
      </c>
      <c r="C69" s="7">
        <v>0.38874999999999998</v>
      </c>
      <c r="D69" s="7">
        <v>0.50375000000000003</v>
      </c>
      <c r="E69" s="7">
        <v>0.115</v>
      </c>
      <c r="F69" s="7">
        <v>29.58199356913185</v>
      </c>
    </row>
    <row r="70" spans="1:6">
      <c r="A70" s="7" t="s">
        <v>17</v>
      </c>
      <c r="B70" s="7">
        <v>128</v>
      </c>
      <c r="C70" s="7">
        <v>0.36499999999999999</v>
      </c>
      <c r="D70" s="7">
        <v>0.47499999999999998</v>
      </c>
      <c r="E70" s="7">
        <v>0.11</v>
      </c>
      <c r="F70" s="7">
        <v>30.136986301369859</v>
      </c>
    </row>
    <row r="71" spans="1:6">
      <c r="A71" s="7" t="s">
        <v>17</v>
      </c>
      <c r="B71" s="7">
        <v>64</v>
      </c>
      <c r="C71" s="7">
        <v>0.29749999999999999</v>
      </c>
      <c r="D71" s="7">
        <v>0.42375000000000002</v>
      </c>
      <c r="E71" s="7">
        <v>0.12625</v>
      </c>
      <c r="F71" s="7">
        <v>42.436974789915979</v>
      </c>
    </row>
    <row r="72" spans="1:6">
      <c r="A72" s="7" t="s">
        <v>18</v>
      </c>
      <c r="B72" s="7">
        <v>256</v>
      </c>
      <c r="C72" s="7">
        <v>0.43</v>
      </c>
      <c r="D72" s="7">
        <v>0.54</v>
      </c>
      <c r="E72" s="7">
        <v>0.11</v>
      </c>
      <c r="F72" s="7">
        <v>25.581395348837219</v>
      </c>
    </row>
    <row r="73" spans="1:6">
      <c r="A73" s="7" t="s">
        <v>18</v>
      </c>
      <c r="B73" s="7">
        <v>128</v>
      </c>
      <c r="C73" s="7">
        <v>0.39374999999999999</v>
      </c>
      <c r="D73" s="7">
        <v>0.51500000000000001</v>
      </c>
      <c r="E73" s="7">
        <v>0.12125</v>
      </c>
      <c r="F73" s="7">
        <v>30.793650793650801</v>
      </c>
    </row>
    <row r="74" spans="1:6">
      <c r="A74" s="7" t="s">
        <v>18</v>
      </c>
      <c r="B74" s="7">
        <v>768</v>
      </c>
      <c r="C74" s="7">
        <v>0.45750000000000002</v>
      </c>
      <c r="D74" s="7">
        <v>0.55000000000000004</v>
      </c>
      <c r="E74" s="7">
        <v>9.2500000000000027E-2</v>
      </c>
      <c r="F74" s="7">
        <v>20.21857923497268</v>
      </c>
    </row>
    <row r="75" spans="1:6">
      <c r="A75" s="7" t="s">
        <v>18</v>
      </c>
      <c r="B75" s="7">
        <v>512</v>
      </c>
      <c r="C75" s="7">
        <v>0.44874999999999998</v>
      </c>
      <c r="D75" s="7">
        <v>0.55374999999999996</v>
      </c>
      <c r="E75" s="7">
        <v>0.105</v>
      </c>
      <c r="F75" s="7">
        <v>23.398328690807791</v>
      </c>
    </row>
    <row r="76" spans="1:6">
      <c r="A76" s="7" t="s">
        <v>18</v>
      </c>
      <c r="B76" s="7">
        <v>64</v>
      </c>
      <c r="C76" s="7">
        <v>0.34499999999999997</v>
      </c>
      <c r="D76" s="7">
        <v>0.46625</v>
      </c>
      <c r="E76" s="7">
        <v>0.12125</v>
      </c>
      <c r="F76" s="7">
        <v>35.144927536231897</v>
      </c>
    </row>
    <row r="77" spans="1:6" s="2" customFormat="1">
      <c r="A77" s="8" t="s">
        <v>19</v>
      </c>
      <c r="B77" s="8"/>
      <c r="C77" s="8"/>
      <c r="D77" s="8"/>
      <c r="E77" s="8"/>
      <c r="F77" s="8">
        <f>AVERAGE(F2:F76)</f>
        <v>30.228549736895449</v>
      </c>
    </row>
    <row r="78" spans="1:6" s="2" customFormat="1">
      <c r="A78" s="8" t="s">
        <v>20</v>
      </c>
      <c r="B78" s="8"/>
      <c r="C78" s="8"/>
      <c r="D78" s="8"/>
      <c r="E78" s="8"/>
      <c r="F78" s="8">
        <f>VAR(F2:F76)</f>
        <v>43.179165757660016</v>
      </c>
    </row>
    <row r="79" spans="1:6" s="2" customFormat="1">
      <c r="A79" s="8" t="s">
        <v>21</v>
      </c>
      <c r="B79" s="8"/>
      <c r="C79" s="8"/>
      <c r="D79" s="8"/>
      <c r="E79" s="8"/>
      <c r="F79" s="8">
        <f>STDEV(F2:F76)</f>
        <v>6.5710855844114535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NPC</cp:lastModifiedBy>
  <dcterms:created xsi:type="dcterms:W3CDTF">2026-08-19T22:07:51Z</dcterms:created>
  <dcterms:modified xsi:type="dcterms:W3CDTF">2026-08-27T20:48:05Z</dcterms:modified>
</cp:coreProperties>
</file>